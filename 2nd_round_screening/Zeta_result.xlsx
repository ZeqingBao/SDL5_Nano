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qing/0_Github/SDL5_Nano/2nd_round_screening/"/>
    </mc:Choice>
  </mc:AlternateContent>
  <xr:revisionPtr revIDLastSave="0" documentId="13_ncr:1_{4FEE9BB5-0FBB-6B49-A1C4-775CF014D278}" xr6:coauthVersionLast="47" xr6:coauthVersionMax="47" xr10:uidLastSave="{00000000-0000-0000-0000-000000000000}"/>
  <bookViews>
    <workbookView xWindow="2200" yWindow="760" windowWidth="28040" windowHeight="17440" activeTab="1" xr2:uid="{0B874A56-76AE-1946-86B1-86214BEDC027}"/>
  </bookViews>
  <sheets>
    <sheet name="Sheet1" sheetId="1" r:id="rId1"/>
    <sheet name="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14" i="1"/>
  <c r="J5" i="1"/>
  <c r="J8" i="1"/>
  <c r="J11" i="1"/>
  <c r="J17" i="1"/>
  <c r="J20" i="1"/>
  <c r="J23" i="1"/>
  <c r="J26" i="1"/>
  <c r="J29" i="1"/>
  <c r="J32" i="1"/>
  <c r="J35" i="1"/>
  <c r="J38" i="1"/>
  <c r="J41" i="1"/>
  <c r="J44" i="1"/>
  <c r="J47" i="1"/>
  <c r="J50" i="1"/>
  <c r="J53" i="1"/>
  <c r="J56" i="1"/>
  <c r="J59" i="1"/>
  <c r="J62" i="1"/>
  <c r="J65" i="1"/>
  <c r="J68" i="1"/>
  <c r="J71" i="1"/>
  <c r="J74" i="1"/>
  <c r="J77" i="1"/>
  <c r="J80" i="1"/>
</calcChain>
</file>

<file path=xl/sharedStrings.xml><?xml version="1.0" encoding="utf-8"?>
<sst xmlns="http://schemas.openxmlformats.org/spreadsheetml/2006/main" count="254" uniqueCount="93">
  <si>
    <t>Record</t>
  </si>
  <si>
    <t>Type</t>
  </si>
  <si>
    <t>Sample Name</t>
  </si>
  <si>
    <t>Measurement Date and Time</t>
  </si>
  <si>
    <t>T (∞C)</t>
  </si>
  <si>
    <t>ZP (mV)</t>
  </si>
  <si>
    <t>Mob (µmcm/Vs)</t>
  </si>
  <si>
    <t>Cond (mS/cm)</t>
  </si>
  <si>
    <t>Full Name</t>
  </si>
  <si>
    <t>Zeta</t>
  </si>
  <si>
    <t>F0_1 1</t>
  </si>
  <si>
    <t>Malvern Zetasizer</t>
  </si>
  <si>
    <t>F0_1 2</t>
  </si>
  <si>
    <t>F0_1 3</t>
  </si>
  <si>
    <t>F1_1 1</t>
  </si>
  <si>
    <t>F1_1 2</t>
  </si>
  <si>
    <t>F1_1 3</t>
  </si>
  <si>
    <t>F2_1 1</t>
  </si>
  <si>
    <t>F2_1 2</t>
  </si>
  <si>
    <t>F2_1 3</t>
  </si>
  <si>
    <t>F3_1 1</t>
  </si>
  <si>
    <t>F3_1 2</t>
  </si>
  <si>
    <t>F3_1 3</t>
  </si>
  <si>
    <t>F4_1 1</t>
  </si>
  <si>
    <t>F4_1 2</t>
  </si>
  <si>
    <t>F4_1 3</t>
  </si>
  <si>
    <t>F5_1 1</t>
  </si>
  <si>
    <t>F5_1 2</t>
  </si>
  <si>
    <t>F5_1 3</t>
  </si>
  <si>
    <t>F6_1 1</t>
  </si>
  <si>
    <t>F6_1 2</t>
  </si>
  <si>
    <t>F6_1 3</t>
  </si>
  <si>
    <t>F7_1 1</t>
  </si>
  <si>
    <t>F7_1 2</t>
  </si>
  <si>
    <t>F7_1 3</t>
  </si>
  <si>
    <t>F8_1 1</t>
  </si>
  <si>
    <t>F8_1 2</t>
  </si>
  <si>
    <t>F8_1 3</t>
  </si>
  <si>
    <t>F0_2 1</t>
  </si>
  <si>
    <t>F0_2 2</t>
  </si>
  <si>
    <t>F0_2 3</t>
  </si>
  <si>
    <t>F1_2 1</t>
  </si>
  <si>
    <t>F1_2 2</t>
  </si>
  <si>
    <t>F1_2 3</t>
  </si>
  <si>
    <t>F2_2 1</t>
  </si>
  <si>
    <t>F2_2 2</t>
  </si>
  <si>
    <t>F2_2 3</t>
  </si>
  <si>
    <t>F3_2 1</t>
  </si>
  <si>
    <t>F3_2 2</t>
  </si>
  <si>
    <t>F3_2 3</t>
  </si>
  <si>
    <t>F4_2 1</t>
  </si>
  <si>
    <t>F4_2 2</t>
  </si>
  <si>
    <t>F4_2 3</t>
  </si>
  <si>
    <t>F5_2 1</t>
  </si>
  <si>
    <t>F5_2 2</t>
  </si>
  <si>
    <t>F5_2 3</t>
  </si>
  <si>
    <t>F6_2 1</t>
  </si>
  <si>
    <t>F6_2 2</t>
  </si>
  <si>
    <t>F6_2 3</t>
  </si>
  <si>
    <t>F7_2 1</t>
  </si>
  <si>
    <t>F7_2 2</t>
  </si>
  <si>
    <t>F7_2 3</t>
  </si>
  <si>
    <t>F8_2 1</t>
  </si>
  <si>
    <t>F8_2 2</t>
  </si>
  <si>
    <t>F8_2 3</t>
  </si>
  <si>
    <t>F0_3 1</t>
  </si>
  <si>
    <t>F0_3 2</t>
  </si>
  <si>
    <t>F0_3 3</t>
  </si>
  <si>
    <t>F1_3 1</t>
  </si>
  <si>
    <t>F1_3 2</t>
  </si>
  <si>
    <t>F1_3 3</t>
  </si>
  <si>
    <t>F2_3 1</t>
  </si>
  <si>
    <t>F2_3 2</t>
  </si>
  <si>
    <t>F2_3 3</t>
  </si>
  <si>
    <t>F3_3 1</t>
  </si>
  <si>
    <t>F3_3 2</t>
  </si>
  <si>
    <t>F3_3 3</t>
  </si>
  <si>
    <t>F4_3 1</t>
  </si>
  <si>
    <t>F4_3 2</t>
  </si>
  <si>
    <t>F4_3 3</t>
  </si>
  <si>
    <t>F5_3 1</t>
  </si>
  <si>
    <t>F5_3 2</t>
  </si>
  <si>
    <t>F5_3 3</t>
  </si>
  <si>
    <t>F6_3 1</t>
  </si>
  <si>
    <t>F6_3 2</t>
  </si>
  <si>
    <t>F6_3 3</t>
  </si>
  <si>
    <t>F7_3 1</t>
  </si>
  <si>
    <t>F7_3 2</t>
  </si>
  <si>
    <t>F7_3 3</t>
  </si>
  <si>
    <t>F8_3 1</t>
  </si>
  <si>
    <t>F8_3 2</t>
  </si>
  <si>
    <t>F8_3 3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</si>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</sst>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BD3A-EE9C-F144-BD3B-A3354A8A73FC}">
  <dimension ref="A1:J82"/>
  <sheetViews>
    <sheetView zoomScale="118" workbookViewId="0">
      <selection activeCell="J2" sqref="J2:J8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">
      <c r="A2">
        <v>1</v>
      </c>
      <c r="B2" t="s">
        <v>9</v>
      </c>
      <c r="C2" t="s">
        <v>10</v>
      </c>
      <c r="D2" s="1">
        <v>45895.366249999999</v>
      </c>
      <c r="E2">
        <v>25.1</v>
      </c>
      <c r="F2">
        <v>-27.4</v>
      </c>
      <c r="G2">
        <v>-2.1469999999999998</v>
      </c>
      <c r="H2">
        <v>4.6399999999999997E-2</v>
      </c>
      <c r="I2" t="s">
        <v>11</v>
      </c>
      <c r="J2" s="2">
        <f>AVERAGE(F2:F4)</f>
        <v>-28.766666666666666</v>
      </c>
    </row>
    <row r="3" spans="1:10" x14ac:dyDescent="0.2">
      <c r="A3">
        <v>2</v>
      </c>
      <c r="B3" t="s">
        <v>9</v>
      </c>
      <c r="C3" t="s">
        <v>12</v>
      </c>
      <c r="D3" s="1">
        <v>45895.366828703707</v>
      </c>
      <c r="E3">
        <v>24.9</v>
      </c>
      <c r="F3">
        <v>-29.4</v>
      </c>
      <c r="G3">
        <v>-2.3079999999999998</v>
      </c>
      <c r="H3">
        <v>4.65E-2</v>
      </c>
      <c r="I3" t="s">
        <v>11</v>
      </c>
      <c r="J3" s="2"/>
    </row>
    <row r="4" spans="1:10" x14ac:dyDescent="0.2">
      <c r="A4">
        <v>3</v>
      </c>
      <c r="B4" t="s">
        <v>9</v>
      </c>
      <c r="C4" t="s">
        <v>13</v>
      </c>
      <c r="D4" s="1">
        <v>45895.367175925923</v>
      </c>
      <c r="E4">
        <v>25.1</v>
      </c>
      <c r="F4">
        <v>-29.5</v>
      </c>
      <c r="G4">
        <v>-2.3090000000000002</v>
      </c>
      <c r="H4">
        <v>4.6600000000000003E-2</v>
      </c>
      <c r="I4" t="s">
        <v>11</v>
      </c>
      <c r="J4" s="2"/>
    </row>
    <row r="5" spans="1:10" x14ac:dyDescent="0.2">
      <c r="A5">
        <v>4</v>
      </c>
      <c r="B5" t="s">
        <v>9</v>
      </c>
      <c r="C5" t="s">
        <v>14</v>
      </c>
      <c r="D5" s="1">
        <v>45895.36787037037</v>
      </c>
      <c r="E5">
        <v>25</v>
      </c>
      <c r="F5">
        <v>-28.3</v>
      </c>
      <c r="G5">
        <v>-2.2149999999999999</v>
      </c>
      <c r="H5">
        <v>7.6499999999999999E-2</v>
      </c>
      <c r="I5" t="s">
        <v>11</v>
      </c>
      <c r="J5" s="2">
        <f>AVERAGE(F5:F7)</f>
        <v>-26.966666666666669</v>
      </c>
    </row>
    <row r="6" spans="1:10" x14ac:dyDescent="0.2">
      <c r="A6">
        <v>5</v>
      </c>
      <c r="B6" t="s">
        <v>9</v>
      </c>
      <c r="C6" t="s">
        <v>15</v>
      </c>
      <c r="D6" s="1">
        <v>45895.368437500001</v>
      </c>
      <c r="E6">
        <v>25</v>
      </c>
      <c r="F6">
        <v>-27.3</v>
      </c>
      <c r="G6">
        <v>-2.14</v>
      </c>
      <c r="H6">
        <v>7.6799999999999993E-2</v>
      </c>
      <c r="I6" t="s">
        <v>11</v>
      </c>
      <c r="J6" s="2"/>
    </row>
    <row r="7" spans="1:10" x14ac:dyDescent="0.2">
      <c r="A7">
        <v>6</v>
      </c>
      <c r="B7" t="s">
        <v>9</v>
      </c>
      <c r="C7" t="s">
        <v>16</v>
      </c>
      <c r="D7" s="1">
        <v>45895.368761574071</v>
      </c>
      <c r="E7">
        <v>24.9</v>
      </c>
      <c r="F7">
        <v>-25.3</v>
      </c>
      <c r="G7">
        <v>-1.986</v>
      </c>
      <c r="H7">
        <v>7.6999999999999999E-2</v>
      </c>
      <c r="I7" t="s">
        <v>11</v>
      </c>
      <c r="J7" s="2"/>
    </row>
    <row r="8" spans="1:10" x14ac:dyDescent="0.2">
      <c r="A8">
        <v>10</v>
      </c>
      <c r="B8" t="s">
        <v>9</v>
      </c>
      <c r="C8" t="s">
        <v>17</v>
      </c>
      <c r="D8" s="1">
        <v>45895.371759259258</v>
      </c>
      <c r="E8">
        <v>25</v>
      </c>
      <c r="F8">
        <v>-30.1</v>
      </c>
      <c r="G8">
        <v>-2.3620000000000001</v>
      </c>
      <c r="H8">
        <v>0.13800000000000001</v>
      </c>
      <c r="I8" t="s">
        <v>11</v>
      </c>
      <c r="J8" s="2">
        <f t="shared" ref="J8" si="0">AVERAGE(F8:F10)</f>
        <v>-31.3</v>
      </c>
    </row>
    <row r="9" spans="1:10" x14ac:dyDescent="0.2">
      <c r="A9">
        <v>11</v>
      </c>
      <c r="B9" t="s">
        <v>9</v>
      </c>
      <c r="C9" t="s">
        <v>18</v>
      </c>
      <c r="D9" s="1">
        <v>45895.372499999998</v>
      </c>
      <c r="E9">
        <v>24.9</v>
      </c>
      <c r="F9">
        <v>-31.2</v>
      </c>
      <c r="G9">
        <v>-2.4430000000000001</v>
      </c>
      <c r="H9">
        <v>0.14000000000000001</v>
      </c>
      <c r="I9" t="s">
        <v>11</v>
      </c>
      <c r="J9" s="2"/>
    </row>
    <row r="10" spans="1:10" x14ac:dyDescent="0.2">
      <c r="A10">
        <v>12</v>
      </c>
      <c r="B10" t="s">
        <v>9</v>
      </c>
      <c r="C10" t="s">
        <v>19</v>
      </c>
      <c r="D10" s="1">
        <v>45895.372986111113</v>
      </c>
      <c r="E10">
        <v>24.9</v>
      </c>
      <c r="F10">
        <v>-32.6</v>
      </c>
      <c r="G10">
        <v>-2.5539999999999998</v>
      </c>
      <c r="H10">
        <v>0.14899999999999999</v>
      </c>
      <c r="I10" t="s">
        <v>11</v>
      </c>
      <c r="J10" s="2"/>
    </row>
    <row r="11" spans="1:10" x14ac:dyDescent="0.2">
      <c r="A11">
        <v>13</v>
      </c>
      <c r="B11" t="s">
        <v>9</v>
      </c>
      <c r="C11" t="s">
        <v>20</v>
      </c>
      <c r="D11" s="1">
        <v>45895.373773148145</v>
      </c>
      <c r="E11">
        <v>25</v>
      </c>
      <c r="F11">
        <v>-27.4</v>
      </c>
      <c r="G11">
        <v>-2.1459999999999999</v>
      </c>
      <c r="H11">
        <v>6.25E-2</v>
      </c>
      <c r="I11" t="s">
        <v>11</v>
      </c>
      <c r="J11" s="2">
        <f t="shared" ref="J11" si="1">AVERAGE(F11:F13)</f>
        <v>-27.900000000000002</v>
      </c>
    </row>
    <row r="12" spans="1:10" x14ac:dyDescent="0.2">
      <c r="A12">
        <v>14</v>
      </c>
      <c r="B12" t="s">
        <v>9</v>
      </c>
      <c r="C12" t="s">
        <v>21</v>
      </c>
      <c r="D12" s="1">
        <v>45895.374513888892</v>
      </c>
      <c r="E12">
        <v>25.1</v>
      </c>
      <c r="F12">
        <v>-28.3</v>
      </c>
      <c r="G12">
        <v>-2.218</v>
      </c>
      <c r="H12">
        <v>6.2899999999999998E-2</v>
      </c>
      <c r="I12" t="s">
        <v>11</v>
      </c>
      <c r="J12" s="2"/>
    </row>
    <row r="13" spans="1:10" x14ac:dyDescent="0.2">
      <c r="A13">
        <v>15</v>
      </c>
      <c r="B13" t="s">
        <v>9</v>
      </c>
      <c r="C13" t="s">
        <v>22</v>
      </c>
      <c r="D13" s="1">
        <v>45895.375</v>
      </c>
      <c r="E13">
        <v>25.1</v>
      </c>
      <c r="F13">
        <v>-28</v>
      </c>
      <c r="G13">
        <v>-2.1989999999999998</v>
      </c>
      <c r="H13">
        <v>6.3299999999999995E-2</v>
      </c>
      <c r="I13" t="s">
        <v>11</v>
      </c>
      <c r="J13" s="2"/>
    </row>
    <row r="14" spans="1:10" x14ac:dyDescent="0.2">
      <c r="A14">
        <v>16</v>
      </c>
      <c r="B14" t="s">
        <v>9</v>
      </c>
      <c r="C14" t="s">
        <v>23</v>
      </c>
      <c r="D14" s="1">
        <v>45895.375879629632</v>
      </c>
      <c r="E14">
        <v>25</v>
      </c>
      <c r="F14">
        <v>-24.6</v>
      </c>
      <c r="G14">
        <v>-1.929</v>
      </c>
      <c r="H14">
        <v>0.11700000000000001</v>
      </c>
      <c r="I14" t="s">
        <v>11</v>
      </c>
      <c r="J14" s="2">
        <f>AVERAGE(F14:F16)</f>
        <v>-24.433333333333337</v>
      </c>
    </row>
    <row r="15" spans="1:10" x14ac:dyDescent="0.2">
      <c r="A15">
        <v>17</v>
      </c>
      <c r="B15" t="s">
        <v>9</v>
      </c>
      <c r="C15" t="s">
        <v>24</v>
      </c>
      <c r="D15" s="1">
        <v>45895.376620370371</v>
      </c>
      <c r="E15">
        <v>25.1</v>
      </c>
      <c r="F15">
        <v>-23.8</v>
      </c>
      <c r="G15">
        <v>-1.869</v>
      </c>
      <c r="H15">
        <v>0.11899999999999999</v>
      </c>
      <c r="I15" t="s">
        <v>11</v>
      </c>
      <c r="J15" s="2"/>
    </row>
    <row r="16" spans="1:10" x14ac:dyDescent="0.2">
      <c r="A16">
        <v>18</v>
      </c>
      <c r="B16" t="s">
        <v>9</v>
      </c>
      <c r="C16" t="s">
        <v>25</v>
      </c>
      <c r="D16" s="1">
        <v>45895.377106481479</v>
      </c>
      <c r="E16">
        <v>25.1</v>
      </c>
      <c r="F16">
        <v>-24.9</v>
      </c>
      <c r="G16">
        <v>-1.9490000000000001</v>
      </c>
      <c r="H16">
        <v>0.12</v>
      </c>
      <c r="I16" t="s">
        <v>11</v>
      </c>
      <c r="J16" s="2"/>
    </row>
    <row r="17" spans="1:10" x14ac:dyDescent="0.2">
      <c r="A17">
        <v>19</v>
      </c>
      <c r="B17" t="s">
        <v>9</v>
      </c>
      <c r="C17" t="s">
        <v>26</v>
      </c>
      <c r="D17" s="1">
        <v>45895.377997685187</v>
      </c>
      <c r="E17">
        <v>25</v>
      </c>
      <c r="F17">
        <v>-24.7</v>
      </c>
      <c r="G17">
        <v>-1.9339999999999999</v>
      </c>
      <c r="H17">
        <v>9.7799999999999998E-2</v>
      </c>
      <c r="I17" t="s">
        <v>11</v>
      </c>
      <c r="J17" s="2">
        <f t="shared" ref="J17" si="2">AVERAGE(F17:F19)</f>
        <v>-25.366666666666664</v>
      </c>
    </row>
    <row r="18" spans="1:10" x14ac:dyDescent="0.2">
      <c r="A18">
        <v>20</v>
      </c>
      <c r="B18" t="s">
        <v>9</v>
      </c>
      <c r="C18" t="s">
        <v>27</v>
      </c>
      <c r="D18" s="1">
        <v>45895.378738425927</v>
      </c>
      <c r="E18">
        <v>25.1</v>
      </c>
      <c r="F18">
        <v>-25.4</v>
      </c>
      <c r="G18">
        <v>-1.988</v>
      </c>
      <c r="H18">
        <v>9.8900000000000002E-2</v>
      </c>
      <c r="I18" t="s">
        <v>11</v>
      </c>
      <c r="J18" s="2"/>
    </row>
    <row r="19" spans="1:10" x14ac:dyDescent="0.2">
      <c r="A19">
        <v>21</v>
      </c>
      <c r="B19" t="s">
        <v>9</v>
      </c>
      <c r="C19" t="s">
        <v>28</v>
      </c>
      <c r="D19" s="1">
        <v>45895.379212962966</v>
      </c>
      <c r="E19">
        <v>25.1</v>
      </c>
      <c r="F19">
        <v>-26</v>
      </c>
      <c r="G19">
        <v>-2.036</v>
      </c>
      <c r="H19">
        <v>0.10199999999999999</v>
      </c>
      <c r="I19" t="s">
        <v>11</v>
      </c>
      <c r="J19" s="2"/>
    </row>
    <row r="20" spans="1:10" x14ac:dyDescent="0.2">
      <c r="A20">
        <v>26</v>
      </c>
      <c r="B20" t="s">
        <v>9</v>
      </c>
      <c r="C20" t="s">
        <v>29</v>
      </c>
      <c r="D20" s="1">
        <v>45895.383101851854</v>
      </c>
      <c r="E20">
        <v>25</v>
      </c>
      <c r="F20">
        <v>-26.4</v>
      </c>
      <c r="G20">
        <v>-2.0670000000000002</v>
      </c>
      <c r="H20">
        <v>0.11</v>
      </c>
      <c r="I20" t="s">
        <v>11</v>
      </c>
      <c r="J20" s="2">
        <f t="shared" ref="J20" si="3">AVERAGE(F20:F22)</f>
        <v>-27.2</v>
      </c>
    </row>
    <row r="21" spans="1:10" x14ac:dyDescent="0.2">
      <c r="A21">
        <v>27</v>
      </c>
      <c r="B21" t="s">
        <v>9</v>
      </c>
      <c r="C21" t="s">
        <v>30</v>
      </c>
      <c r="D21" s="1">
        <v>45895.383831018517</v>
      </c>
      <c r="E21">
        <v>24.9</v>
      </c>
      <c r="F21">
        <v>-28.7</v>
      </c>
      <c r="G21">
        <v>-2.2480000000000002</v>
      </c>
      <c r="H21">
        <v>0.121</v>
      </c>
      <c r="I21" t="s">
        <v>11</v>
      </c>
      <c r="J21" s="2"/>
    </row>
    <row r="22" spans="1:10" x14ac:dyDescent="0.2">
      <c r="A22">
        <v>28</v>
      </c>
      <c r="B22" t="s">
        <v>9</v>
      </c>
      <c r="C22" t="s">
        <v>31</v>
      </c>
      <c r="D22" s="1">
        <v>45895.384317129632</v>
      </c>
      <c r="E22">
        <v>24.9</v>
      </c>
      <c r="F22">
        <v>-26.5</v>
      </c>
      <c r="G22">
        <v>-2.077</v>
      </c>
      <c r="H22">
        <v>0.11</v>
      </c>
      <c r="I22" t="s">
        <v>11</v>
      </c>
      <c r="J22" s="2"/>
    </row>
    <row r="23" spans="1:10" x14ac:dyDescent="0.2">
      <c r="A23">
        <v>29</v>
      </c>
      <c r="B23" t="s">
        <v>9</v>
      </c>
      <c r="C23" t="s">
        <v>32</v>
      </c>
      <c r="D23" s="1">
        <v>45895.385115740741</v>
      </c>
      <c r="E23">
        <v>25</v>
      </c>
      <c r="F23">
        <v>-27.5</v>
      </c>
      <c r="G23">
        <v>-2.153</v>
      </c>
      <c r="H23">
        <v>6.5100000000000005E-2</v>
      </c>
      <c r="I23" t="s">
        <v>11</v>
      </c>
      <c r="J23" s="2">
        <f t="shared" ref="J23" si="4">AVERAGE(F23:F25)</f>
        <v>-27.966666666666669</v>
      </c>
    </row>
    <row r="24" spans="1:10" x14ac:dyDescent="0.2">
      <c r="A24">
        <v>30</v>
      </c>
      <c r="B24" t="s">
        <v>9</v>
      </c>
      <c r="C24" t="s">
        <v>33</v>
      </c>
      <c r="D24" s="1">
        <v>45895.385844907411</v>
      </c>
      <c r="E24">
        <v>25</v>
      </c>
      <c r="F24">
        <v>-28.1</v>
      </c>
      <c r="G24">
        <v>-2.2000000000000002</v>
      </c>
      <c r="H24">
        <v>6.5600000000000006E-2</v>
      </c>
      <c r="I24" t="s">
        <v>11</v>
      </c>
      <c r="J24" s="2"/>
    </row>
    <row r="25" spans="1:10" x14ac:dyDescent="0.2">
      <c r="A25">
        <v>31</v>
      </c>
      <c r="B25" t="s">
        <v>9</v>
      </c>
      <c r="C25" t="s">
        <v>34</v>
      </c>
      <c r="D25" s="1">
        <v>45895.386342592596</v>
      </c>
      <c r="E25">
        <v>25.1</v>
      </c>
      <c r="F25">
        <v>-28.3</v>
      </c>
      <c r="G25">
        <v>-2.2210000000000001</v>
      </c>
      <c r="H25">
        <v>6.5799999999999997E-2</v>
      </c>
      <c r="I25" t="s">
        <v>11</v>
      </c>
      <c r="J25" s="2"/>
    </row>
    <row r="26" spans="1:10" x14ac:dyDescent="0.2">
      <c r="A26">
        <v>32</v>
      </c>
      <c r="B26" t="s">
        <v>9</v>
      </c>
      <c r="C26" t="s">
        <v>35</v>
      </c>
      <c r="D26" s="1">
        <v>45895.387141203704</v>
      </c>
      <c r="E26">
        <v>25</v>
      </c>
      <c r="F26">
        <v>-24.2</v>
      </c>
      <c r="G26">
        <v>-1.9</v>
      </c>
      <c r="H26">
        <v>0.11600000000000001</v>
      </c>
      <c r="I26" t="s">
        <v>11</v>
      </c>
      <c r="J26" s="2">
        <f t="shared" ref="J26" si="5">AVERAGE(F26:F28)</f>
        <v>-26.099999999999998</v>
      </c>
    </row>
    <row r="27" spans="1:10" x14ac:dyDescent="0.2">
      <c r="A27">
        <v>33</v>
      </c>
      <c r="B27" t="s">
        <v>9</v>
      </c>
      <c r="C27" t="s">
        <v>36</v>
      </c>
      <c r="D27" s="1">
        <v>45895.387870370374</v>
      </c>
      <c r="E27">
        <v>25</v>
      </c>
      <c r="F27">
        <v>-28.1</v>
      </c>
      <c r="G27">
        <v>-2.2040000000000002</v>
      </c>
      <c r="H27">
        <v>0.11700000000000001</v>
      </c>
      <c r="I27" t="s">
        <v>11</v>
      </c>
      <c r="J27" s="2"/>
    </row>
    <row r="28" spans="1:10" x14ac:dyDescent="0.2">
      <c r="A28">
        <v>34</v>
      </c>
      <c r="B28" t="s">
        <v>9</v>
      </c>
      <c r="C28" t="s">
        <v>37</v>
      </c>
      <c r="D28" s="1">
        <v>45895.388356481482</v>
      </c>
      <c r="E28">
        <v>24.9</v>
      </c>
      <c r="F28">
        <v>-26</v>
      </c>
      <c r="G28">
        <v>-2.0350000000000001</v>
      </c>
      <c r="H28">
        <v>0.11799999999999999</v>
      </c>
      <c r="I28" t="s">
        <v>11</v>
      </c>
      <c r="J28" s="2"/>
    </row>
    <row r="29" spans="1:10" x14ac:dyDescent="0.2">
      <c r="A29">
        <v>35</v>
      </c>
      <c r="B29" t="s">
        <v>9</v>
      </c>
      <c r="C29" t="s">
        <v>38</v>
      </c>
      <c r="D29" s="1">
        <v>45895.398495370369</v>
      </c>
      <c r="E29">
        <v>25</v>
      </c>
      <c r="F29">
        <v>-28.7</v>
      </c>
      <c r="G29">
        <v>-2.25</v>
      </c>
      <c r="H29">
        <v>4.2599999999999999E-2</v>
      </c>
      <c r="I29" t="s">
        <v>11</v>
      </c>
      <c r="J29" s="2">
        <f t="shared" ref="J29" si="6">AVERAGE(F29:F31)</f>
        <v>-29.233333333333334</v>
      </c>
    </row>
    <row r="30" spans="1:10" x14ac:dyDescent="0.2">
      <c r="A30">
        <v>36</v>
      </c>
      <c r="B30" t="s">
        <v>9</v>
      </c>
      <c r="C30" t="s">
        <v>39</v>
      </c>
      <c r="D30" s="1">
        <v>45895.399236111109</v>
      </c>
      <c r="E30">
        <v>24.9</v>
      </c>
      <c r="F30">
        <v>-29.5</v>
      </c>
      <c r="G30">
        <v>-2.31</v>
      </c>
      <c r="H30">
        <v>4.2700000000000002E-2</v>
      </c>
      <c r="I30" t="s">
        <v>11</v>
      </c>
      <c r="J30" s="2"/>
    </row>
    <row r="31" spans="1:10" x14ac:dyDescent="0.2">
      <c r="A31">
        <v>37</v>
      </c>
      <c r="B31" t="s">
        <v>9</v>
      </c>
      <c r="C31" t="s">
        <v>40</v>
      </c>
      <c r="D31" s="1">
        <v>45895.399722222224</v>
      </c>
      <c r="E31">
        <v>24.9</v>
      </c>
      <c r="F31">
        <v>-29.5</v>
      </c>
      <c r="G31">
        <v>-2.3130000000000002</v>
      </c>
      <c r="H31">
        <v>4.2799999999999998E-2</v>
      </c>
      <c r="I31" t="s">
        <v>11</v>
      </c>
      <c r="J31" s="2"/>
    </row>
    <row r="32" spans="1:10" x14ac:dyDescent="0.2">
      <c r="A32">
        <v>38</v>
      </c>
      <c r="B32" t="s">
        <v>9</v>
      </c>
      <c r="C32" t="s">
        <v>41</v>
      </c>
      <c r="D32" s="1">
        <v>45895.400543981479</v>
      </c>
      <c r="E32">
        <v>25</v>
      </c>
      <c r="F32">
        <v>-25.7</v>
      </c>
      <c r="G32">
        <v>-2.0179999999999998</v>
      </c>
      <c r="H32">
        <v>7.3800000000000004E-2</v>
      </c>
      <c r="I32" t="s">
        <v>11</v>
      </c>
      <c r="J32" s="2">
        <f t="shared" ref="J32" si="7">AVERAGE(F32:F34)</f>
        <v>-24.833333333333332</v>
      </c>
    </row>
    <row r="33" spans="1:10" x14ac:dyDescent="0.2">
      <c r="A33">
        <v>39</v>
      </c>
      <c r="B33" t="s">
        <v>9</v>
      </c>
      <c r="C33" t="s">
        <v>42</v>
      </c>
      <c r="D33" s="1">
        <v>45895.401284722226</v>
      </c>
      <c r="E33">
        <v>25.1</v>
      </c>
      <c r="F33">
        <v>-24.8</v>
      </c>
      <c r="G33">
        <v>-1.9450000000000001</v>
      </c>
      <c r="H33">
        <v>7.4399999999999994E-2</v>
      </c>
      <c r="I33" t="s">
        <v>11</v>
      </c>
      <c r="J33" s="2"/>
    </row>
    <row r="34" spans="1:10" x14ac:dyDescent="0.2">
      <c r="A34">
        <v>40</v>
      </c>
      <c r="B34" t="s">
        <v>9</v>
      </c>
      <c r="C34" t="s">
        <v>43</v>
      </c>
      <c r="D34" s="1">
        <v>45895.401770833334</v>
      </c>
      <c r="E34">
        <v>25.1</v>
      </c>
      <c r="F34">
        <v>-24</v>
      </c>
      <c r="G34">
        <v>-1.883</v>
      </c>
      <c r="H34">
        <v>7.4700000000000003E-2</v>
      </c>
      <c r="I34" t="s">
        <v>11</v>
      </c>
      <c r="J34" s="2"/>
    </row>
    <row r="35" spans="1:10" x14ac:dyDescent="0.2">
      <c r="A35">
        <v>41</v>
      </c>
      <c r="B35" t="s">
        <v>9</v>
      </c>
      <c r="C35" t="s">
        <v>44</v>
      </c>
      <c r="D35" s="1">
        <v>45895.402569444443</v>
      </c>
      <c r="E35">
        <v>25</v>
      </c>
      <c r="F35">
        <v>-31</v>
      </c>
      <c r="G35">
        <v>-2.4279999999999999</v>
      </c>
      <c r="H35">
        <v>0.13900000000000001</v>
      </c>
      <c r="I35" t="s">
        <v>11</v>
      </c>
      <c r="J35" s="2">
        <f t="shared" ref="J35" si="8">AVERAGE(F35:F37)</f>
        <v>-29.8</v>
      </c>
    </row>
    <row r="36" spans="1:10" x14ac:dyDescent="0.2">
      <c r="A36">
        <v>42</v>
      </c>
      <c r="B36" t="s">
        <v>9</v>
      </c>
      <c r="C36" t="s">
        <v>45</v>
      </c>
      <c r="D36" s="1">
        <v>45895.403310185182</v>
      </c>
      <c r="E36">
        <v>25</v>
      </c>
      <c r="F36">
        <v>-28.3</v>
      </c>
      <c r="G36">
        <v>-2.2149999999999999</v>
      </c>
      <c r="H36">
        <v>0.14000000000000001</v>
      </c>
      <c r="I36" t="s">
        <v>11</v>
      </c>
      <c r="J36" s="2"/>
    </row>
    <row r="37" spans="1:10" x14ac:dyDescent="0.2">
      <c r="A37">
        <v>43</v>
      </c>
      <c r="B37" t="s">
        <v>9</v>
      </c>
      <c r="C37" t="s">
        <v>46</v>
      </c>
      <c r="D37" s="1">
        <v>45895.403796296298</v>
      </c>
      <c r="E37">
        <v>25</v>
      </c>
      <c r="F37">
        <v>-30.1</v>
      </c>
      <c r="G37">
        <v>-2.36</v>
      </c>
      <c r="H37">
        <v>0.14499999999999999</v>
      </c>
      <c r="I37" t="s">
        <v>11</v>
      </c>
      <c r="J37" s="2"/>
    </row>
    <row r="38" spans="1:10" x14ac:dyDescent="0.2">
      <c r="A38">
        <v>44</v>
      </c>
      <c r="B38" t="s">
        <v>9</v>
      </c>
      <c r="C38" t="s">
        <v>47</v>
      </c>
      <c r="D38" s="1">
        <v>45895.404652777775</v>
      </c>
      <c r="E38">
        <v>25</v>
      </c>
      <c r="F38">
        <v>-23.7</v>
      </c>
      <c r="G38">
        <v>-1.8580000000000001</v>
      </c>
      <c r="H38">
        <v>6.3700000000000007E-2</v>
      </c>
      <c r="I38" t="s">
        <v>11</v>
      </c>
      <c r="J38" s="2">
        <f t="shared" ref="J38" si="9">AVERAGE(F38:F40)</f>
        <v>-23.599999999999998</v>
      </c>
    </row>
    <row r="39" spans="1:10" x14ac:dyDescent="0.2">
      <c r="A39">
        <v>45</v>
      </c>
      <c r="B39" t="s">
        <v>9</v>
      </c>
      <c r="C39" t="s">
        <v>48</v>
      </c>
      <c r="D39" s="1">
        <v>45895.405393518522</v>
      </c>
      <c r="E39">
        <v>25</v>
      </c>
      <c r="F39">
        <v>-23.2</v>
      </c>
      <c r="G39">
        <v>-1.8220000000000001</v>
      </c>
      <c r="H39">
        <v>6.4000000000000001E-2</v>
      </c>
      <c r="I39" t="s">
        <v>11</v>
      </c>
      <c r="J39" s="2"/>
    </row>
    <row r="40" spans="1:10" x14ac:dyDescent="0.2">
      <c r="A40">
        <v>46</v>
      </c>
      <c r="B40" t="s">
        <v>9</v>
      </c>
      <c r="C40" t="s">
        <v>49</v>
      </c>
      <c r="D40" s="1">
        <v>45895.40587962963</v>
      </c>
      <c r="E40">
        <v>25</v>
      </c>
      <c r="F40">
        <v>-23.9</v>
      </c>
      <c r="G40">
        <v>-1.8759999999999999</v>
      </c>
      <c r="H40">
        <v>6.4299999999999996E-2</v>
      </c>
      <c r="I40" t="s">
        <v>11</v>
      </c>
      <c r="J40" s="2"/>
    </row>
    <row r="41" spans="1:10" x14ac:dyDescent="0.2">
      <c r="A41">
        <v>47</v>
      </c>
      <c r="B41" t="s">
        <v>9</v>
      </c>
      <c r="C41" t="s">
        <v>50</v>
      </c>
      <c r="D41" s="1">
        <v>45895.406747685185</v>
      </c>
      <c r="E41">
        <v>25</v>
      </c>
      <c r="F41">
        <v>-26.2</v>
      </c>
      <c r="G41">
        <v>-2.0550000000000002</v>
      </c>
      <c r="H41">
        <v>0.11799999999999999</v>
      </c>
      <c r="I41" t="s">
        <v>11</v>
      </c>
      <c r="J41" s="2">
        <f t="shared" ref="J41" si="10">AVERAGE(F41:F43)</f>
        <v>-25.766666666666669</v>
      </c>
    </row>
    <row r="42" spans="1:10" x14ac:dyDescent="0.2">
      <c r="A42">
        <v>48</v>
      </c>
      <c r="B42" t="s">
        <v>9</v>
      </c>
      <c r="C42" t="s">
        <v>51</v>
      </c>
      <c r="D42" s="1">
        <v>45895.407476851855</v>
      </c>
      <c r="E42">
        <v>25</v>
      </c>
      <c r="F42">
        <v>-26</v>
      </c>
      <c r="G42">
        <v>-2.0350000000000001</v>
      </c>
      <c r="H42">
        <v>0.11899999999999999</v>
      </c>
      <c r="I42" t="s">
        <v>11</v>
      </c>
      <c r="J42" s="2"/>
    </row>
    <row r="43" spans="1:10" x14ac:dyDescent="0.2">
      <c r="A43">
        <v>49</v>
      </c>
      <c r="B43" t="s">
        <v>9</v>
      </c>
      <c r="C43" t="s">
        <v>52</v>
      </c>
      <c r="D43" s="1">
        <v>45895.407997685186</v>
      </c>
      <c r="E43">
        <v>24.9</v>
      </c>
      <c r="F43">
        <v>-25.1</v>
      </c>
      <c r="G43">
        <v>-1.9690000000000001</v>
      </c>
      <c r="H43">
        <v>0.12</v>
      </c>
      <c r="I43" t="s">
        <v>11</v>
      </c>
      <c r="J43" s="2"/>
    </row>
    <row r="44" spans="1:10" x14ac:dyDescent="0.2">
      <c r="A44">
        <v>50</v>
      </c>
      <c r="B44" t="s">
        <v>9</v>
      </c>
      <c r="C44" t="s">
        <v>53</v>
      </c>
      <c r="D44" s="1">
        <v>45895.408796296295</v>
      </c>
      <c r="E44">
        <v>25</v>
      </c>
      <c r="F44">
        <v>-23.5</v>
      </c>
      <c r="G44">
        <v>-1.845</v>
      </c>
      <c r="H44">
        <v>9.4399999999999998E-2</v>
      </c>
      <c r="I44" t="s">
        <v>11</v>
      </c>
      <c r="J44" s="2">
        <f t="shared" ref="J44" si="11">AVERAGE(F44:F46)</f>
        <v>-22.966666666666669</v>
      </c>
    </row>
    <row r="45" spans="1:10" x14ac:dyDescent="0.2">
      <c r="A45">
        <v>51</v>
      </c>
      <c r="B45" t="s">
        <v>9</v>
      </c>
      <c r="C45" t="s">
        <v>54</v>
      </c>
      <c r="D45" s="1">
        <v>45895.409537037034</v>
      </c>
      <c r="E45">
        <v>25</v>
      </c>
      <c r="F45">
        <v>-23</v>
      </c>
      <c r="G45">
        <v>-1.802</v>
      </c>
      <c r="H45">
        <v>9.5500000000000002E-2</v>
      </c>
      <c r="I45" t="s">
        <v>11</v>
      </c>
      <c r="J45" s="2"/>
    </row>
    <row r="46" spans="1:10" x14ac:dyDescent="0.2">
      <c r="A46">
        <v>52</v>
      </c>
      <c r="B46" t="s">
        <v>9</v>
      </c>
      <c r="C46" t="s">
        <v>55</v>
      </c>
      <c r="D46" s="1">
        <v>45895.410057870373</v>
      </c>
      <c r="E46">
        <v>25.1</v>
      </c>
      <c r="F46">
        <v>-22.4</v>
      </c>
      <c r="G46">
        <v>-1.756</v>
      </c>
      <c r="H46">
        <v>9.7100000000000006E-2</v>
      </c>
      <c r="I46" t="s">
        <v>11</v>
      </c>
      <c r="J46" s="2"/>
    </row>
    <row r="47" spans="1:10" x14ac:dyDescent="0.2">
      <c r="A47">
        <v>53</v>
      </c>
      <c r="B47" t="s">
        <v>9</v>
      </c>
      <c r="C47" t="s">
        <v>56</v>
      </c>
      <c r="D47" s="1">
        <v>45895.411122685182</v>
      </c>
      <c r="E47">
        <v>25</v>
      </c>
      <c r="F47">
        <v>-21.7</v>
      </c>
      <c r="G47">
        <v>-1.6990000000000001</v>
      </c>
      <c r="H47">
        <v>0.105</v>
      </c>
      <c r="I47" t="s">
        <v>11</v>
      </c>
      <c r="J47" s="2">
        <f t="shared" ref="J47" si="12">AVERAGE(F47:F49)</f>
        <v>-22.533333333333331</v>
      </c>
    </row>
    <row r="48" spans="1:10" x14ac:dyDescent="0.2">
      <c r="A48">
        <v>54</v>
      </c>
      <c r="B48" t="s">
        <v>9</v>
      </c>
      <c r="C48" t="s">
        <v>57</v>
      </c>
      <c r="D48" s="1">
        <v>45895.411863425928</v>
      </c>
      <c r="E48">
        <v>25</v>
      </c>
      <c r="F48">
        <v>-22.6</v>
      </c>
      <c r="G48">
        <v>-1.7709999999999999</v>
      </c>
      <c r="H48">
        <v>0.106</v>
      </c>
      <c r="I48" t="s">
        <v>11</v>
      </c>
      <c r="J48" s="2"/>
    </row>
    <row r="49" spans="1:10" x14ac:dyDescent="0.2">
      <c r="A49">
        <v>55</v>
      </c>
      <c r="B49" t="s">
        <v>9</v>
      </c>
      <c r="C49" t="s">
        <v>58</v>
      </c>
      <c r="D49" s="1">
        <v>45895.412349537037</v>
      </c>
      <c r="E49">
        <v>25</v>
      </c>
      <c r="F49">
        <v>-23.3</v>
      </c>
      <c r="G49">
        <v>-1.829</v>
      </c>
      <c r="H49">
        <v>0.109</v>
      </c>
      <c r="I49" t="s">
        <v>11</v>
      </c>
      <c r="J49" s="2"/>
    </row>
    <row r="50" spans="1:10" x14ac:dyDescent="0.2">
      <c r="A50">
        <v>56</v>
      </c>
      <c r="B50" t="s">
        <v>9</v>
      </c>
      <c r="C50" t="s">
        <v>59</v>
      </c>
      <c r="D50" s="1">
        <v>45895.413576388892</v>
      </c>
      <c r="E50">
        <v>25</v>
      </c>
      <c r="F50">
        <v>-28.2</v>
      </c>
      <c r="G50">
        <v>-2.214</v>
      </c>
      <c r="H50">
        <v>6.5000000000000002E-2</v>
      </c>
      <c r="I50" t="s">
        <v>11</v>
      </c>
      <c r="J50" s="2">
        <f t="shared" ref="J50" si="13">AVERAGE(F50:F52)</f>
        <v>-27.966666666666669</v>
      </c>
    </row>
    <row r="51" spans="1:10" x14ac:dyDescent="0.2">
      <c r="A51">
        <v>57</v>
      </c>
      <c r="B51" t="s">
        <v>9</v>
      </c>
      <c r="C51" t="s">
        <v>60</v>
      </c>
      <c r="D51" s="1">
        <v>45895.414317129631</v>
      </c>
      <c r="E51">
        <v>25</v>
      </c>
      <c r="F51">
        <v>-28.6</v>
      </c>
      <c r="G51">
        <v>-2.2450000000000001</v>
      </c>
      <c r="H51">
        <v>6.54E-2</v>
      </c>
      <c r="I51" t="s">
        <v>11</v>
      </c>
      <c r="J51" s="2"/>
    </row>
    <row r="52" spans="1:10" x14ac:dyDescent="0.2">
      <c r="A52">
        <v>58</v>
      </c>
      <c r="B52" t="s">
        <v>9</v>
      </c>
      <c r="C52" t="s">
        <v>61</v>
      </c>
      <c r="D52" s="1">
        <v>45895.414803240739</v>
      </c>
      <c r="E52">
        <v>25</v>
      </c>
      <c r="F52">
        <v>-27.1</v>
      </c>
      <c r="G52">
        <v>-2.121</v>
      </c>
      <c r="H52">
        <v>6.5699999999999995E-2</v>
      </c>
      <c r="I52" t="s">
        <v>11</v>
      </c>
      <c r="J52" s="2"/>
    </row>
    <row r="53" spans="1:10" x14ac:dyDescent="0.2">
      <c r="A53">
        <v>59</v>
      </c>
      <c r="B53" t="s">
        <v>9</v>
      </c>
      <c r="C53" t="s">
        <v>62</v>
      </c>
      <c r="D53" s="1">
        <v>45895.415555555555</v>
      </c>
      <c r="E53">
        <v>25</v>
      </c>
      <c r="F53">
        <v>-23.9</v>
      </c>
      <c r="G53">
        <v>-1.87</v>
      </c>
      <c r="H53">
        <v>0.114</v>
      </c>
      <c r="I53" t="s">
        <v>11</v>
      </c>
      <c r="J53" s="2">
        <f t="shared" ref="J53" si="14">AVERAGE(F53:F55)</f>
        <v>-24.366666666666664</v>
      </c>
    </row>
    <row r="54" spans="1:10" x14ac:dyDescent="0.2">
      <c r="A54">
        <v>60</v>
      </c>
      <c r="B54" t="s">
        <v>9</v>
      </c>
      <c r="C54" t="s">
        <v>63</v>
      </c>
      <c r="D54" s="1">
        <v>45895.416296296295</v>
      </c>
      <c r="E54">
        <v>25</v>
      </c>
      <c r="F54">
        <v>-24.9</v>
      </c>
      <c r="G54">
        <v>-1.9530000000000001</v>
      </c>
      <c r="H54">
        <v>0.115</v>
      </c>
      <c r="I54" t="s">
        <v>11</v>
      </c>
      <c r="J54" s="2"/>
    </row>
    <row r="55" spans="1:10" x14ac:dyDescent="0.2">
      <c r="A55">
        <v>61</v>
      </c>
      <c r="B55" t="s">
        <v>9</v>
      </c>
      <c r="C55" t="s">
        <v>64</v>
      </c>
      <c r="D55" s="1">
        <v>45895.41678240741</v>
      </c>
      <c r="E55">
        <v>25</v>
      </c>
      <c r="F55">
        <v>-24.3</v>
      </c>
      <c r="G55">
        <v>-1.907</v>
      </c>
      <c r="H55">
        <v>0.115</v>
      </c>
      <c r="I55" t="s">
        <v>11</v>
      </c>
      <c r="J55" s="2"/>
    </row>
    <row r="56" spans="1:10" x14ac:dyDescent="0.2">
      <c r="A56">
        <v>62</v>
      </c>
      <c r="B56" t="s">
        <v>9</v>
      </c>
      <c r="C56" t="s">
        <v>65</v>
      </c>
      <c r="D56" s="1">
        <v>45895.42633101852</v>
      </c>
      <c r="E56">
        <v>24.9</v>
      </c>
      <c r="F56">
        <v>-23.4</v>
      </c>
      <c r="G56">
        <v>-1.835</v>
      </c>
      <c r="H56">
        <v>4.41E-2</v>
      </c>
      <c r="I56" t="s">
        <v>11</v>
      </c>
      <c r="J56" s="2">
        <f t="shared" ref="J56" si="15">AVERAGE(F56:F58)</f>
        <v>-27.2</v>
      </c>
    </row>
    <row r="57" spans="1:10" x14ac:dyDescent="0.2">
      <c r="A57">
        <v>63</v>
      </c>
      <c r="B57" t="s">
        <v>9</v>
      </c>
      <c r="C57" t="s">
        <v>66</v>
      </c>
      <c r="D57" s="1">
        <v>45895.427060185182</v>
      </c>
      <c r="E57">
        <v>25</v>
      </c>
      <c r="F57">
        <v>-29.4</v>
      </c>
      <c r="G57">
        <v>-2.3079999999999998</v>
      </c>
      <c r="H57">
        <v>4.4400000000000002E-2</v>
      </c>
      <c r="I57" t="s">
        <v>11</v>
      </c>
      <c r="J57" s="2"/>
    </row>
    <row r="58" spans="1:10" x14ac:dyDescent="0.2">
      <c r="A58">
        <v>64</v>
      </c>
      <c r="B58" t="s">
        <v>9</v>
      </c>
      <c r="C58" t="s">
        <v>67</v>
      </c>
      <c r="D58" s="1">
        <v>45895.427546296298</v>
      </c>
      <c r="E58">
        <v>25</v>
      </c>
      <c r="F58">
        <v>-28.8</v>
      </c>
      <c r="G58">
        <v>-2.2549999999999999</v>
      </c>
      <c r="H58">
        <v>4.6899999999999997E-2</v>
      </c>
      <c r="I58" t="s">
        <v>11</v>
      </c>
      <c r="J58" s="2"/>
    </row>
    <row r="59" spans="1:10" x14ac:dyDescent="0.2">
      <c r="A59">
        <v>65</v>
      </c>
      <c r="B59" t="s">
        <v>9</v>
      </c>
      <c r="C59" t="s">
        <v>68</v>
      </c>
      <c r="D59" s="1">
        <v>45895.428356481483</v>
      </c>
      <c r="E59">
        <v>24.9</v>
      </c>
      <c r="F59">
        <v>-25.9</v>
      </c>
      <c r="G59">
        <v>-2.0310000000000001</v>
      </c>
      <c r="H59">
        <v>7.4499999999999997E-2</v>
      </c>
      <c r="I59" t="s">
        <v>11</v>
      </c>
      <c r="J59" s="2">
        <f t="shared" ref="J59" si="16">AVERAGE(F59:F61)</f>
        <v>-24.900000000000002</v>
      </c>
    </row>
    <row r="60" spans="1:10" x14ac:dyDescent="0.2">
      <c r="A60">
        <v>66</v>
      </c>
      <c r="B60" t="s">
        <v>9</v>
      </c>
      <c r="C60" t="s">
        <v>69</v>
      </c>
      <c r="D60" s="1">
        <v>45895.429097222222</v>
      </c>
      <c r="E60">
        <v>24.9</v>
      </c>
      <c r="F60">
        <v>-25.5</v>
      </c>
      <c r="G60">
        <v>-1.998</v>
      </c>
      <c r="H60">
        <v>7.51E-2</v>
      </c>
      <c r="I60" t="s">
        <v>11</v>
      </c>
      <c r="J60" s="2"/>
    </row>
    <row r="61" spans="1:10" x14ac:dyDescent="0.2">
      <c r="A61">
        <v>67</v>
      </c>
      <c r="B61" t="s">
        <v>9</v>
      </c>
      <c r="C61" t="s">
        <v>70</v>
      </c>
      <c r="D61" s="1">
        <v>45895.429583333331</v>
      </c>
      <c r="E61">
        <v>24.9</v>
      </c>
      <c r="F61">
        <v>-23.3</v>
      </c>
      <c r="G61">
        <v>-1.827</v>
      </c>
      <c r="H61">
        <v>7.5399999999999995E-2</v>
      </c>
      <c r="I61" t="s">
        <v>11</v>
      </c>
      <c r="J61" s="2"/>
    </row>
    <row r="62" spans="1:10" x14ac:dyDescent="0.2">
      <c r="A62">
        <v>68</v>
      </c>
      <c r="B62" t="s">
        <v>9</v>
      </c>
      <c r="C62" t="s">
        <v>71</v>
      </c>
      <c r="D62" s="1">
        <v>45895.430520833332</v>
      </c>
      <c r="E62">
        <v>25</v>
      </c>
      <c r="F62">
        <v>-29.1</v>
      </c>
      <c r="G62">
        <v>-2.2810000000000001</v>
      </c>
      <c r="H62">
        <v>0.13500000000000001</v>
      </c>
      <c r="I62" t="s">
        <v>11</v>
      </c>
      <c r="J62" s="2">
        <f t="shared" ref="J62" si="17">AVERAGE(F62:F64)</f>
        <v>-29.133333333333336</v>
      </c>
    </row>
    <row r="63" spans="1:10" x14ac:dyDescent="0.2">
      <c r="A63">
        <v>69</v>
      </c>
      <c r="B63" t="s">
        <v>9</v>
      </c>
      <c r="C63" t="s">
        <v>72</v>
      </c>
      <c r="D63" s="1">
        <v>45895.431261574071</v>
      </c>
      <c r="E63">
        <v>25</v>
      </c>
      <c r="F63">
        <v>-30.7</v>
      </c>
      <c r="G63">
        <v>-2.4089999999999998</v>
      </c>
      <c r="H63">
        <v>0.14099999999999999</v>
      </c>
      <c r="I63" t="s">
        <v>11</v>
      </c>
      <c r="J63" s="2"/>
    </row>
    <row r="64" spans="1:10" x14ac:dyDescent="0.2">
      <c r="A64">
        <v>70</v>
      </c>
      <c r="B64" t="s">
        <v>9</v>
      </c>
      <c r="C64" t="s">
        <v>73</v>
      </c>
      <c r="D64" s="1">
        <v>45895.431747685187</v>
      </c>
      <c r="E64">
        <v>25</v>
      </c>
      <c r="F64">
        <v>-27.6</v>
      </c>
      <c r="G64">
        <v>-2.165</v>
      </c>
      <c r="H64">
        <v>0.13900000000000001</v>
      </c>
      <c r="I64" t="s">
        <v>11</v>
      </c>
      <c r="J64" s="2"/>
    </row>
    <row r="65" spans="1:10" x14ac:dyDescent="0.2">
      <c r="A65">
        <v>71</v>
      </c>
      <c r="B65" t="s">
        <v>9</v>
      </c>
      <c r="C65" t="s">
        <v>74</v>
      </c>
      <c r="D65" s="1">
        <v>45895.432581018518</v>
      </c>
      <c r="E65">
        <v>25</v>
      </c>
      <c r="F65">
        <v>-25.2</v>
      </c>
      <c r="G65">
        <v>-1.974</v>
      </c>
      <c r="H65">
        <v>6.5000000000000002E-2</v>
      </c>
      <c r="I65" t="s">
        <v>11</v>
      </c>
      <c r="J65" s="2">
        <f t="shared" ref="J65" si="18">AVERAGE(F65:F67)</f>
        <v>-28.466666666666669</v>
      </c>
    </row>
    <row r="66" spans="1:10" x14ac:dyDescent="0.2">
      <c r="A66">
        <v>72</v>
      </c>
      <c r="B66" t="s">
        <v>9</v>
      </c>
      <c r="C66" t="s">
        <v>75</v>
      </c>
      <c r="D66" s="1">
        <v>45895.433321759258</v>
      </c>
      <c r="E66">
        <v>25</v>
      </c>
      <c r="F66">
        <v>-27.3</v>
      </c>
      <c r="G66">
        <v>-2.137</v>
      </c>
      <c r="H66">
        <v>6.6299999999999998E-2</v>
      </c>
      <c r="I66" t="s">
        <v>11</v>
      </c>
      <c r="J66" s="2"/>
    </row>
    <row r="67" spans="1:10" x14ac:dyDescent="0.2">
      <c r="A67">
        <v>73</v>
      </c>
      <c r="B67" t="s">
        <v>9</v>
      </c>
      <c r="C67" t="s">
        <v>76</v>
      </c>
      <c r="D67" s="1">
        <v>45895.433807870373</v>
      </c>
      <c r="E67">
        <v>25</v>
      </c>
      <c r="F67">
        <v>-32.9</v>
      </c>
      <c r="G67">
        <v>-2.581</v>
      </c>
      <c r="H67">
        <v>7.6899999999999996E-2</v>
      </c>
      <c r="I67" t="s">
        <v>11</v>
      </c>
      <c r="J67" s="2"/>
    </row>
    <row r="68" spans="1:10" x14ac:dyDescent="0.2">
      <c r="A68">
        <v>74</v>
      </c>
      <c r="B68" t="s">
        <v>9</v>
      </c>
      <c r="C68" t="s">
        <v>77</v>
      </c>
      <c r="D68" s="1">
        <v>45895.434872685182</v>
      </c>
      <c r="E68">
        <v>25</v>
      </c>
      <c r="F68">
        <v>-20.5</v>
      </c>
      <c r="G68">
        <v>-1.6040000000000001</v>
      </c>
      <c r="H68">
        <v>0.127</v>
      </c>
      <c r="I68" t="s">
        <v>11</v>
      </c>
      <c r="J68" s="2">
        <f t="shared" ref="J68" si="19">AVERAGE(F68:F70)</f>
        <v>-20.7</v>
      </c>
    </row>
    <row r="69" spans="1:10" x14ac:dyDescent="0.2">
      <c r="A69">
        <v>75</v>
      </c>
      <c r="B69" t="s">
        <v>9</v>
      </c>
      <c r="C69" t="s">
        <v>78</v>
      </c>
      <c r="D69" s="1">
        <v>45895.435648148145</v>
      </c>
      <c r="E69">
        <v>25</v>
      </c>
      <c r="F69">
        <v>-19.3</v>
      </c>
      <c r="G69">
        <v>-1.51</v>
      </c>
      <c r="H69">
        <v>0.11799999999999999</v>
      </c>
      <c r="I69" t="s">
        <v>11</v>
      </c>
      <c r="J69" s="2"/>
    </row>
    <row r="70" spans="1:10" x14ac:dyDescent="0.2">
      <c r="A70">
        <v>76</v>
      </c>
      <c r="B70" t="s">
        <v>9</v>
      </c>
      <c r="C70" t="s">
        <v>79</v>
      </c>
      <c r="D70" s="1">
        <v>45895.436238425929</v>
      </c>
      <c r="E70">
        <v>25</v>
      </c>
      <c r="F70">
        <v>-22.3</v>
      </c>
      <c r="G70">
        <v>-1.7490000000000001</v>
      </c>
      <c r="H70">
        <v>0.11700000000000001</v>
      </c>
      <c r="I70" t="s">
        <v>11</v>
      </c>
      <c r="J70" s="2"/>
    </row>
    <row r="71" spans="1:10" x14ac:dyDescent="0.2">
      <c r="A71">
        <v>77</v>
      </c>
      <c r="B71" t="s">
        <v>9</v>
      </c>
      <c r="C71" t="s">
        <v>80</v>
      </c>
      <c r="D71" s="1">
        <v>45895.437303240738</v>
      </c>
      <c r="E71">
        <v>25</v>
      </c>
      <c r="F71">
        <v>-24.7</v>
      </c>
      <c r="G71">
        <v>-1.9330000000000001</v>
      </c>
      <c r="H71">
        <v>9.6299999999999997E-2</v>
      </c>
      <c r="I71" t="s">
        <v>11</v>
      </c>
      <c r="J71" s="2">
        <f t="shared" ref="J71" si="20">AVERAGE(F71:F73)</f>
        <v>-24.666666666666668</v>
      </c>
    </row>
    <row r="72" spans="1:10" x14ac:dyDescent="0.2">
      <c r="A72">
        <v>78</v>
      </c>
      <c r="B72" t="s">
        <v>9</v>
      </c>
      <c r="C72" t="s">
        <v>81</v>
      </c>
      <c r="D72" s="1">
        <v>45895.438078703701</v>
      </c>
      <c r="E72">
        <v>25</v>
      </c>
      <c r="F72">
        <v>-24.6</v>
      </c>
      <c r="G72">
        <v>-1.931</v>
      </c>
      <c r="H72">
        <v>9.7100000000000006E-2</v>
      </c>
      <c r="I72" t="s">
        <v>11</v>
      </c>
      <c r="J72" s="2"/>
    </row>
    <row r="73" spans="1:10" x14ac:dyDescent="0.2">
      <c r="A73">
        <v>79</v>
      </c>
      <c r="B73" t="s">
        <v>9</v>
      </c>
      <c r="C73" t="s">
        <v>82</v>
      </c>
      <c r="D73" s="1">
        <v>45895.438564814816</v>
      </c>
      <c r="E73">
        <v>25</v>
      </c>
      <c r="F73">
        <v>-24.7</v>
      </c>
      <c r="G73">
        <v>-1.94</v>
      </c>
      <c r="H73">
        <v>9.7699999999999995E-2</v>
      </c>
      <c r="I73" t="s">
        <v>11</v>
      </c>
      <c r="J73" s="2"/>
    </row>
    <row r="74" spans="1:10" x14ac:dyDescent="0.2">
      <c r="A74">
        <v>80</v>
      </c>
      <c r="B74" t="s">
        <v>9</v>
      </c>
      <c r="C74" t="s">
        <v>83</v>
      </c>
      <c r="D74" s="1">
        <v>45895.439351851855</v>
      </c>
      <c r="E74">
        <v>25</v>
      </c>
      <c r="F74">
        <v>-22.8</v>
      </c>
      <c r="G74">
        <v>-1.7889999999999999</v>
      </c>
      <c r="H74">
        <v>0.107</v>
      </c>
      <c r="I74" t="s">
        <v>11</v>
      </c>
      <c r="J74" s="2">
        <f t="shared" ref="J74" si="21">AVERAGE(F74:F76)</f>
        <v>-24.333333333333332</v>
      </c>
    </row>
    <row r="75" spans="1:10" x14ac:dyDescent="0.2">
      <c r="A75">
        <v>81</v>
      </c>
      <c r="B75" t="s">
        <v>9</v>
      </c>
      <c r="C75" t="s">
        <v>84</v>
      </c>
      <c r="D75" s="1">
        <v>45895.440092592595</v>
      </c>
      <c r="E75">
        <v>25</v>
      </c>
      <c r="F75">
        <v>-24.6</v>
      </c>
      <c r="G75">
        <v>-1.925</v>
      </c>
      <c r="H75">
        <v>0.107</v>
      </c>
      <c r="I75" t="s">
        <v>11</v>
      </c>
      <c r="J75" s="2"/>
    </row>
    <row r="76" spans="1:10" x14ac:dyDescent="0.2">
      <c r="A76">
        <v>82</v>
      </c>
      <c r="B76" t="s">
        <v>9</v>
      </c>
      <c r="C76" t="s">
        <v>85</v>
      </c>
      <c r="D76" s="1">
        <v>45895.440578703703</v>
      </c>
      <c r="E76">
        <v>25</v>
      </c>
      <c r="F76">
        <v>-25.6</v>
      </c>
      <c r="G76">
        <v>-2.0099999999999998</v>
      </c>
      <c r="H76">
        <v>0.115</v>
      </c>
      <c r="I76" t="s">
        <v>11</v>
      </c>
      <c r="J76" s="2"/>
    </row>
    <row r="77" spans="1:10" x14ac:dyDescent="0.2">
      <c r="A77">
        <v>83</v>
      </c>
      <c r="B77" t="s">
        <v>9</v>
      </c>
      <c r="C77" t="s">
        <v>86</v>
      </c>
      <c r="D77" s="1">
        <v>45895.441446759258</v>
      </c>
      <c r="E77">
        <v>25</v>
      </c>
      <c r="F77">
        <v>-31.7</v>
      </c>
      <c r="G77">
        <v>-2.4860000000000002</v>
      </c>
      <c r="H77">
        <v>7.4700000000000003E-2</v>
      </c>
      <c r="I77" t="s">
        <v>11</v>
      </c>
      <c r="J77" s="2">
        <f t="shared" ref="J77" si="22">AVERAGE(F77:F79)</f>
        <v>-29.8</v>
      </c>
    </row>
    <row r="78" spans="1:10" x14ac:dyDescent="0.2">
      <c r="A78">
        <v>84</v>
      </c>
      <c r="B78" t="s">
        <v>9</v>
      </c>
      <c r="C78" t="s">
        <v>87</v>
      </c>
      <c r="D78" s="1">
        <v>45895.442187499997</v>
      </c>
      <c r="E78">
        <v>25</v>
      </c>
      <c r="F78">
        <v>-28.5</v>
      </c>
      <c r="G78">
        <v>-2.23</v>
      </c>
      <c r="H78">
        <v>6.7900000000000002E-2</v>
      </c>
      <c r="I78" t="s">
        <v>11</v>
      </c>
      <c r="J78" s="2"/>
    </row>
    <row r="79" spans="1:10" x14ac:dyDescent="0.2">
      <c r="A79">
        <v>85</v>
      </c>
      <c r="B79" t="s">
        <v>9</v>
      </c>
      <c r="C79" t="s">
        <v>88</v>
      </c>
      <c r="D79" s="1">
        <v>45895.442673611113</v>
      </c>
      <c r="E79">
        <v>25</v>
      </c>
      <c r="F79">
        <v>-29.2</v>
      </c>
      <c r="G79">
        <v>-2.2879999999999998</v>
      </c>
      <c r="H79">
        <v>6.6699999999999995E-2</v>
      </c>
      <c r="I79" t="s">
        <v>11</v>
      </c>
      <c r="J79" s="2"/>
    </row>
    <row r="80" spans="1:10" x14ac:dyDescent="0.2">
      <c r="A80">
        <v>86</v>
      </c>
      <c r="B80" t="s">
        <v>9</v>
      </c>
      <c r="C80" t="s">
        <v>89</v>
      </c>
      <c r="D80" s="1">
        <v>45895.443425925929</v>
      </c>
      <c r="E80">
        <v>25</v>
      </c>
      <c r="F80">
        <v>-27.3</v>
      </c>
      <c r="G80">
        <v>-2.141</v>
      </c>
      <c r="H80">
        <v>0.12</v>
      </c>
      <c r="I80" t="s">
        <v>11</v>
      </c>
      <c r="J80" s="2">
        <f t="shared" ref="J80" si="23">AVERAGE(F80:F82)</f>
        <v>-27.099999999999998</v>
      </c>
    </row>
    <row r="81" spans="1:10" x14ac:dyDescent="0.2">
      <c r="A81">
        <v>87</v>
      </c>
      <c r="B81" t="s">
        <v>9</v>
      </c>
      <c r="C81" t="s">
        <v>90</v>
      </c>
      <c r="D81" s="1">
        <v>45895.444155092591</v>
      </c>
      <c r="E81">
        <v>25</v>
      </c>
      <c r="F81">
        <v>-26.8</v>
      </c>
      <c r="G81">
        <v>-2.1019999999999999</v>
      </c>
      <c r="H81">
        <v>0.12</v>
      </c>
      <c r="I81" t="s">
        <v>11</v>
      </c>
      <c r="J81" s="2"/>
    </row>
    <row r="82" spans="1:10" x14ac:dyDescent="0.2">
      <c r="A82">
        <v>88</v>
      </c>
      <c r="B82" t="s">
        <v>9</v>
      </c>
      <c r="C82" t="s">
        <v>91</v>
      </c>
      <c r="D82" s="1">
        <v>45895.444652777776</v>
      </c>
      <c r="E82">
        <v>25</v>
      </c>
      <c r="F82">
        <v>-27.2</v>
      </c>
      <c r="G82">
        <v>-2.1349999999999998</v>
      </c>
      <c r="H82">
        <v>0.11700000000000001</v>
      </c>
      <c r="I82" t="s">
        <v>11</v>
      </c>
      <c r="J82" s="2"/>
    </row>
  </sheetData>
  <mergeCells count="27">
    <mergeCell ref="J2:J4"/>
    <mergeCell ref="J5:J7"/>
    <mergeCell ref="J8:J10"/>
    <mergeCell ref="J11:J13"/>
    <mergeCell ref="J14:J16"/>
    <mergeCell ref="J50:J52"/>
    <mergeCell ref="J17:J19"/>
    <mergeCell ref="J20:J22"/>
    <mergeCell ref="J23:J25"/>
    <mergeCell ref="J26:J28"/>
    <mergeCell ref="J29:J31"/>
    <mergeCell ref="J32:J34"/>
    <mergeCell ref="J35:J37"/>
    <mergeCell ref="J38:J40"/>
    <mergeCell ref="J41:J43"/>
    <mergeCell ref="J44:J46"/>
    <mergeCell ref="J47:J49"/>
    <mergeCell ref="J71:J73"/>
    <mergeCell ref="J74:J76"/>
    <mergeCell ref="J77:J79"/>
    <mergeCell ref="J80:J82"/>
    <mergeCell ref="J53:J55"/>
    <mergeCell ref="J56:J58"/>
    <mergeCell ref="J59:J61"/>
    <mergeCell ref="J62:J64"/>
    <mergeCell ref="J65:J67"/>
    <mergeCell ref="J68:J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67AE-9A89-5E40-A3C7-2DAA45356F6D}">
  <dimension ref="A1:B28"/>
  <sheetViews>
    <sheetView tabSelected="1" topLeftCell="A3" zoomScale="75" workbookViewId="0">
      <selection activeCell="F25" sqref="F25"/>
    </sheetView>
  </sheetViews>
  <sheetFormatPr baseColWidth="10" defaultRowHeight="16" x14ac:dyDescent="0.2"/>
  <sheetData>
    <row r="1" spans="1:2" x14ac:dyDescent="0.2">
      <c r="A1" t="s">
        <v>92</v>
      </c>
      <c r="B1" t="s">
        <v>9</v>
      </c>
    </row>
    <row r="2" spans="1:2" x14ac:dyDescent="0.2">
      <c r="A2" s="2">
        <v>0</v>
      </c>
      <c r="B2">
        <v>-28.766666666666666</v>
      </c>
    </row>
    <row r="3" spans="1:2" x14ac:dyDescent="0.2">
      <c r="A3" s="2"/>
      <c r="B3">
        <v>-29.233333333333334</v>
      </c>
    </row>
    <row r="4" spans="1:2" x14ac:dyDescent="0.2">
      <c r="A4" s="2"/>
      <c r="B4">
        <v>-27.2</v>
      </c>
    </row>
    <row r="5" spans="1:2" x14ac:dyDescent="0.2">
      <c r="A5" s="2">
        <v>1</v>
      </c>
      <c r="B5">
        <v>-26.966666666666669</v>
      </c>
    </row>
    <row r="6" spans="1:2" x14ac:dyDescent="0.2">
      <c r="A6" s="2"/>
      <c r="B6">
        <v>-24.833333333333332</v>
      </c>
    </row>
    <row r="7" spans="1:2" x14ac:dyDescent="0.2">
      <c r="A7" s="2"/>
      <c r="B7">
        <v>-24.900000000000002</v>
      </c>
    </row>
    <row r="8" spans="1:2" x14ac:dyDescent="0.2">
      <c r="A8" s="2">
        <v>2</v>
      </c>
      <c r="B8">
        <v>-31.3</v>
      </c>
    </row>
    <row r="9" spans="1:2" x14ac:dyDescent="0.2">
      <c r="A9" s="2"/>
      <c r="B9">
        <v>-29.8</v>
      </c>
    </row>
    <row r="10" spans="1:2" x14ac:dyDescent="0.2">
      <c r="A10" s="2"/>
      <c r="B10">
        <v>-29.133333333333336</v>
      </c>
    </row>
    <row r="11" spans="1:2" x14ac:dyDescent="0.2">
      <c r="A11" s="2">
        <v>3</v>
      </c>
      <c r="B11">
        <v>-27.900000000000002</v>
      </c>
    </row>
    <row r="12" spans="1:2" x14ac:dyDescent="0.2">
      <c r="A12" s="2"/>
      <c r="B12">
        <v>-23.599999999999998</v>
      </c>
    </row>
    <row r="13" spans="1:2" x14ac:dyDescent="0.2">
      <c r="A13" s="2"/>
      <c r="B13">
        <v>-28.466666666666669</v>
      </c>
    </row>
    <row r="14" spans="1:2" x14ac:dyDescent="0.2">
      <c r="A14" s="2">
        <v>4</v>
      </c>
      <c r="B14">
        <v>-24.433333333333337</v>
      </c>
    </row>
    <row r="15" spans="1:2" x14ac:dyDescent="0.2">
      <c r="A15" s="2"/>
      <c r="B15">
        <v>-25.766666666666669</v>
      </c>
    </row>
    <row r="16" spans="1:2" x14ac:dyDescent="0.2">
      <c r="A16" s="2"/>
      <c r="B16">
        <v>-20.7</v>
      </c>
    </row>
    <row r="17" spans="1:2" x14ac:dyDescent="0.2">
      <c r="A17" s="2">
        <v>5</v>
      </c>
      <c r="B17">
        <v>-25.366666666666664</v>
      </c>
    </row>
    <row r="18" spans="1:2" x14ac:dyDescent="0.2">
      <c r="A18" s="2"/>
      <c r="B18">
        <v>-22.966666666666669</v>
      </c>
    </row>
    <row r="19" spans="1:2" x14ac:dyDescent="0.2">
      <c r="A19" s="2"/>
      <c r="B19">
        <v>-24.666666666666668</v>
      </c>
    </row>
    <row r="20" spans="1:2" x14ac:dyDescent="0.2">
      <c r="A20" s="2">
        <v>6</v>
      </c>
      <c r="B20">
        <v>-27.2</v>
      </c>
    </row>
    <row r="21" spans="1:2" x14ac:dyDescent="0.2">
      <c r="A21" s="2"/>
      <c r="B21">
        <v>-22.533333333333331</v>
      </c>
    </row>
    <row r="22" spans="1:2" x14ac:dyDescent="0.2">
      <c r="A22" s="2"/>
      <c r="B22">
        <v>-24.333333333333332</v>
      </c>
    </row>
    <row r="23" spans="1:2" x14ac:dyDescent="0.2">
      <c r="A23" s="2">
        <v>7</v>
      </c>
      <c r="B23">
        <v>-27.966666666666669</v>
      </c>
    </row>
    <row r="24" spans="1:2" x14ac:dyDescent="0.2">
      <c r="A24" s="2"/>
      <c r="B24">
        <v>-27.966666666666669</v>
      </c>
    </row>
    <row r="25" spans="1:2" x14ac:dyDescent="0.2">
      <c r="A25" s="2"/>
      <c r="B25">
        <v>-29.8</v>
      </c>
    </row>
    <row r="26" spans="1:2" x14ac:dyDescent="0.2">
      <c r="A26" s="2">
        <v>8</v>
      </c>
      <c r="B26">
        <v>-26.099999999999998</v>
      </c>
    </row>
    <row r="27" spans="1:2" x14ac:dyDescent="0.2">
      <c r="A27" s="2"/>
      <c r="B27">
        <v>-24.366666666666664</v>
      </c>
    </row>
    <row r="28" spans="1:2" x14ac:dyDescent="0.2">
      <c r="A28" s="2"/>
      <c r="B28">
        <v>-27.099999999999998</v>
      </c>
    </row>
  </sheetData>
  <mergeCells count="9">
    <mergeCell ref="A20:A22"/>
    <mergeCell ref="A23:A25"/>
    <mergeCell ref="A26:A28"/>
    <mergeCell ref="A2:A4"/>
    <mergeCell ref="A5:A7"/>
    <mergeCell ref="A8:A10"/>
    <mergeCell ref="A11:A13"/>
    <mergeCell ref="A14:A16"/>
    <mergeCell ref="A17:A19"/>
  </mergeCells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Zeqing Bao</dc:creator>
  <cp:lastModifiedBy>Zeqing Bao</cp:lastModifiedBy>
  <dcterms:created xsi:type="dcterms:W3CDTF">2025-08-27T13:03:42Z</dcterms:created>
  <dcterms:modified xsi:type="dcterms:W3CDTF">2025-08-27T13:24:14Z</dcterms:modified>
</cp:coreProperties>
</file>